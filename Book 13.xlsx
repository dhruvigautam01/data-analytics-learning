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B2FEB71-0935-4913-A4E2-8C41FAC3186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3" r:id="rId2"/>
    <sheet name="Dashboar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2" i="1"/>
  <c r="J2" i="1"/>
  <c r="J3" i="1"/>
  <c r="J4" i="1"/>
  <c r="I2" i="1"/>
  <c r="I3" i="1"/>
  <c r="I4" i="1"/>
  <c r="F3" i="1"/>
  <c r="F4" i="1"/>
  <c r="F5" i="1"/>
  <c r="F6" i="1"/>
  <c r="F7" i="1"/>
  <c r="F8" i="1"/>
  <c r="F2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<sst xmlns="http://schemas.openxmlformats.org/spreadsheetml/2006/main" count="40" uniqueCount="26">
  <si>
    <t xml:space="preserve">Name </t>
  </si>
  <si>
    <t>Department</t>
  </si>
  <si>
    <t>Score</t>
  </si>
  <si>
    <t>Attendence</t>
  </si>
  <si>
    <t>Grade</t>
  </si>
  <si>
    <t>Status</t>
  </si>
  <si>
    <t>Department's Count</t>
  </si>
  <si>
    <t>Average Score</t>
  </si>
  <si>
    <t>Average Attendence</t>
  </si>
  <si>
    <t>Riya</t>
  </si>
  <si>
    <t>Sales</t>
  </si>
  <si>
    <t>Aman</t>
  </si>
  <si>
    <t>Marketing</t>
  </si>
  <si>
    <t>Zoya</t>
  </si>
  <si>
    <t>HR</t>
  </si>
  <si>
    <t>Kabir</t>
  </si>
  <si>
    <t>Neha</t>
  </si>
  <si>
    <t>Dev</t>
  </si>
  <si>
    <t>Priya</t>
  </si>
  <si>
    <t>Name</t>
  </si>
  <si>
    <t>riya</t>
  </si>
  <si>
    <t>SALES</t>
  </si>
  <si>
    <t>AMAN</t>
  </si>
  <si>
    <t>sales</t>
  </si>
  <si>
    <t>marketing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</si>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</sst>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2" fillId="3" borderId="5" xfId="0" applyFont="1" applyFill="1" applyBorder="1" applyAlignment="1"/>
    <xf numFmtId="0" fontId="2" fillId="3" borderId="0" xfId="0" applyFont="1" applyFill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Average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Sheet1!$J$2:$J$4</c:f>
              <c:numCache>
                <c:formatCode>General</c:formatCode>
                <c:ptCount val="3"/>
                <c:pt idx="0">
                  <c:v>70.333333333333329</c:v>
                </c:pt>
                <c:pt idx="1">
                  <c:v>56</c:v>
                </c:pt>
                <c:pt idx="2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1-4AA2-9332-6BDC284600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0991752"/>
        <c:axId val="1400993800"/>
      </c:barChart>
      <c:catAx>
        <c:axId val="14009917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93800"/>
        <c:crosses val="autoZero"/>
        <c:auto val="1"/>
        <c:lblAlgn val="ctr"/>
        <c:lblOffset val="100"/>
        <c:noMultiLvlLbl val="0"/>
      </c:catAx>
      <c:valAx>
        <c:axId val="140099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9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2352675</xdr:colOff>
      <xdr:row>1</xdr:row>
      <xdr:rowOff>57150</xdr:rowOff>
    </xdr:from>
    <xdr:to>
      <xdr:col>8</xdr:col>
      <xdr:colOff>219075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E6FCD-02B2-46F1-89C9-24246C800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A32CE-B66A-4FF4-A5F5-80C3F859564D}" name="Table1" displayName="Table1" ref="A1:F8" totalsRowShown="0">
  <autoFilter ref="A1:F8" xr:uid="{845A32CE-B66A-4FF4-A5F5-80C3F859564D}"/>
  <tableColumns count="6">
    <tableColumn id="1" xr3:uid="{F99B02FC-E6E3-429D-B771-3C7C9ACA5FCB}" name="Name " dataDxfId="4"/>
    <tableColumn id="2" xr3:uid="{BB9652F0-1532-4158-9F2B-E07D3198F12E}" name="Department" dataDxfId="3"/>
    <tableColumn id="3" xr3:uid="{9F12040A-3B83-4D41-A687-F5C160A14F16}" name="Score" dataDxfId="2"/>
    <tableColumn id="4" xr3:uid="{9FD61EE3-C838-47B0-A3C2-8EF945201496}" name="Attendence" dataDxfId="1"/>
    <tableColumn id="5" xr3:uid="{07B0B1E1-3B73-4358-801A-9642E83E437F}" name="Grade">
      <calculatedColumnFormula array="1">_xlfn.IFS(C2&gt;=80,"A",C2&gt;=65,"B",C2&gt;=50,"C",TRUE,"F")</calculatedColumnFormula>
    </tableColumn>
    <tableColumn id="6" xr3:uid="{58E1E4FE-595C-4207-8AF2-C843B3E62646}" name="Status">
      <calculatedColumnFormula>IF(AND(C2&gt;=50,D2&gt;=75),"Pass","Fail")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FF213B-F8F7-428E-BB9F-DDCACB446E80}" name="Table2" displayName="Table2" ref="H1:K4" totalsRowShown="0">
  <autoFilter ref="H1:K4" xr:uid="{A0FF213B-F8F7-428E-BB9F-DDCACB446E80}"/>
  <tableColumns count="4">
    <tableColumn id="1" xr3:uid="{AF381CE6-FE40-448A-A79F-1199BD42AD59}" name="Department"/>
    <tableColumn id="2" xr3:uid="{F1411703-A414-4A4A-9A03-C8F4B78907C2}" name="Department's Count">
      <calculatedColumnFormula>COUNTIF($B$2:$B$8,H2)</calculatedColumnFormula>
    </tableColumn>
    <tableColumn id="3" xr3:uid="{A0E56293-7735-4D49-B6F0-48F57A05A843}" name="Average Score" dataDxfId="0">
      <calculatedColumnFormula>AVERAGEIF($B$2:$B$8,H2,Table1[Score])</calculatedColumnFormula>
    </tableColumn>
    <tableColumn id="4" xr3:uid="{EA167C4F-77E6-4EEC-87C9-AD7D6C26A0A7}" name="Average Attendence">
      <calculatedColumnFormula>AVERAGEIF($B$2:$B$8,H2,Table1[Attendence])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215E2-98EE-4571-BD86-DACFC131E23E}" name="Table3" displayName="Table3" ref="A1:C6" totalsRowShown="0">
  <autoFilter ref="A1:C6" xr:uid="{D8F215E2-98EE-4571-BD86-DACFC131E23E}"/>
  <tableColumns count="3">
    <tableColumn id="1" xr3:uid="{D8B53A26-97F0-49E5-AA88-5BA13AB0C82A}" name="Name"/>
    <tableColumn id="2" xr3:uid="{8A152691-3A78-43C9-9E6F-A5CCCB58C38A}" name="Department"/>
    <tableColumn id="3" xr3:uid="{4BF4AF33-9385-4D97-B477-33F5DE19B644}" name="Sco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opLeftCell="D1" workbookViewId="0">
      <selection activeCell="H1" sqref="H1:K4"/>
    </sheetView>
  </sheetViews>
  <sheetFormatPr defaultRowHeight="15"/>
  <cols>
    <col min="2" max="2" width="14" bestFit="1" customWidth="1"/>
    <col min="4" max="4" width="13.5703125" bestFit="1" customWidth="1"/>
    <col min="7" max="7" width="11.85546875" customWidth="1"/>
    <col min="8" max="8" width="14" customWidth="1"/>
    <col min="9" max="9" width="21.140625" bestFit="1" customWidth="1"/>
    <col min="10" max="10" width="21" customWidth="1"/>
    <col min="11" max="11" width="21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H1" s="9" t="s">
        <v>1</v>
      </c>
      <c r="I1" t="s">
        <v>6</v>
      </c>
      <c r="J1" t="s">
        <v>7</v>
      </c>
      <c r="K1" t="s">
        <v>8</v>
      </c>
    </row>
    <row r="2" spans="1:11">
      <c r="A2" s="3" t="s">
        <v>9</v>
      </c>
      <c r="B2" s="3" t="s">
        <v>10</v>
      </c>
      <c r="C2" s="3">
        <v>85</v>
      </c>
      <c r="D2" s="4">
        <v>90</v>
      </c>
      <c r="E2" t="str" cm="1">
        <f t="array" ref="E2">_xlfn.IFS(C2&gt;=80,"A",C2&gt;=65,"B",C2&gt;=50,"C",TRUE,"F")</f>
        <v>A</v>
      </c>
      <c r="F2" t="str">
        <f>IF(AND(C2&gt;=50,D2&gt;=75),"Pass","Fail")</f>
        <v>Pass</v>
      </c>
      <c r="H2" t="s">
        <v>10</v>
      </c>
      <c r="I2">
        <f>COUNTIF($B$2:$B$8,H2)</f>
        <v>3</v>
      </c>
      <c r="J2" s="9">
        <f>AVERAGEIF($B$2:$B$8,H2,Table1[Score])</f>
        <v>70.333333333333329</v>
      </c>
      <c r="K2">
        <f>AVERAGEIF($B$2:$B$8,H2,Table1[Attendence])</f>
        <v>76.666666666666671</v>
      </c>
    </row>
    <row r="3" spans="1:11">
      <c r="A3" s="5" t="s">
        <v>11</v>
      </c>
      <c r="B3" s="5" t="s">
        <v>10</v>
      </c>
      <c r="C3" s="5">
        <v>48</v>
      </c>
      <c r="D3" s="6">
        <v>60</v>
      </c>
      <c r="E3" t="str" cm="1">
        <f t="array" ref="E3">_xlfn.IFS(C3&gt;=80,"A",C3&gt;=65,"B",C3&gt;=50,"C",TRUE,"F")</f>
        <v>F</v>
      </c>
      <c r="F3" t="str">
        <f>IF(AND(C3&gt;=50,D3&gt;=75),"Pass","Fail")</f>
        <v>Fail</v>
      </c>
      <c r="H3" t="s">
        <v>12</v>
      </c>
      <c r="I3">
        <f t="shared" ref="I3:I4" si="0">COUNTIF($B$2:$B$8,H3)</f>
        <v>2</v>
      </c>
      <c r="J3" s="9">
        <f>AVERAGEIF($B$2:$B$8,H3,Table1[Score])</f>
        <v>56</v>
      </c>
      <c r="K3">
        <f>AVERAGEIF($B$2:$B$8,H3,Table1[Attendence])</f>
        <v>70</v>
      </c>
    </row>
    <row r="4" spans="1:11">
      <c r="A4" s="3" t="s">
        <v>13</v>
      </c>
      <c r="B4" s="3" t="s">
        <v>12</v>
      </c>
      <c r="C4" s="3">
        <v>72</v>
      </c>
      <c r="D4" s="4">
        <v>85</v>
      </c>
      <c r="E4" t="str" cm="1">
        <f t="array" ref="E4">_xlfn.IFS(C4&gt;=80,"A",C4&gt;=65,"B",C4&gt;=50,"C",TRUE,"F")</f>
        <v>B</v>
      </c>
      <c r="F4" t="str">
        <f>IF(AND(C4&gt;=50,D4&gt;=75),"Pass","Fail")</f>
        <v>Pass</v>
      </c>
      <c r="H4" t="s">
        <v>14</v>
      </c>
      <c r="I4">
        <f t="shared" si="0"/>
        <v>2</v>
      </c>
      <c r="J4" s="9">
        <f>AVERAGEIF($B$2:$B$8,H4,Table1[Score])</f>
        <v>77.5</v>
      </c>
      <c r="K4">
        <f>AVERAGEIF($B$2:$B$8,H4,Table1[Attendence])</f>
        <v>82.5</v>
      </c>
    </row>
    <row r="5" spans="1:11">
      <c r="A5" s="5" t="s">
        <v>15</v>
      </c>
      <c r="B5" s="5" t="s">
        <v>12</v>
      </c>
      <c r="C5" s="5">
        <v>40</v>
      </c>
      <c r="D5" s="6">
        <v>55</v>
      </c>
      <c r="E5" t="str" cm="1">
        <f t="array" ref="E5">_xlfn.IFS(C5&gt;=80,"A",C5&gt;=65,"B",C5&gt;=50,"C",TRUE,"F")</f>
        <v>F</v>
      </c>
      <c r="F5" t="str">
        <f>IF(AND(C5&gt;=50,D5&gt;=75),"Pass","Fail")</f>
        <v>Fail</v>
      </c>
    </row>
    <row r="6" spans="1:11">
      <c r="A6" s="3" t="s">
        <v>16</v>
      </c>
      <c r="B6" s="3" t="s">
        <v>14</v>
      </c>
      <c r="C6" s="3">
        <v>90</v>
      </c>
      <c r="D6" s="4">
        <v>95</v>
      </c>
      <c r="E6" t="str" cm="1">
        <f t="array" ref="E6">_xlfn.IFS(C6&gt;=80,"A",C6&gt;=65,"B",C6&gt;=50,"C",TRUE,"F")</f>
        <v>A</v>
      </c>
      <c r="F6" t="str">
        <f>IF(AND(C6&gt;=50,D6&gt;=75),"Pass","Fail")</f>
        <v>Pass</v>
      </c>
    </row>
    <row r="7" spans="1:11">
      <c r="A7" s="5" t="s">
        <v>17</v>
      </c>
      <c r="B7" s="5" t="s">
        <v>14</v>
      </c>
      <c r="C7" s="5">
        <v>65</v>
      </c>
      <c r="D7" s="6">
        <v>70</v>
      </c>
      <c r="E7" t="str" cm="1">
        <f t="array" ref="E7">_xlfn.IFS(C7&gt;=80,"A",C7&gt;=65,"B",C7&gt;=50,"C",TRUE,"F")</f>
        <v>B</v>
      </c>
      <c r="F7" t="str">
        <f>IF(AND(C7&gt;=50,D7&gt;=75),"Pass","Fail")</f>
        <v>Fail</v>
      </c>
    </row>
    <row r="8" spans="1:11">
      <c r="A8" s="7" t="s">
        <v>18</v>
      </c>
      <c r="B8" s="7" t="s">
        <v>10</v>
      </c>
      <c r="C8" s="7">
        <v>78</v>
      </c>
      <c r="D8" s="8">
        <v>80</v>
      </c>
      <c r="E8" t="str" cm="1">
        <f t="array" ref="E8">_xlfn.IFS(C8&gt;=80,"A",C8&gt;=65,"B",C8&gt;=50,"C",TRUE,"F")</f>
        <v>B</v>
      </c>
      <c r="F8" t="str">
        <f>IF(AND(C8&gt;=50,D8&gt;=75),"Pass","Fail")</f>
        <v>Pass</v>
      </c>
    </row>
  </sheetData>
  <conditionalFormatting sqref="C2">
    <cfRule type="cellIs" dxfId="10" priority="7" operator="greaterThan">
      <formula>79</formula>
    </cfRule>
  </conditionalFormatting>
  <conditionalFormatting sqref="C4:C8">
    <cfRule type="cellIs" dxfId="9" priority="5" operator="greaterThan">
      <formula>79</formula>
    </cfRule>
  </conditionalFormatting>
  <conditionalFormatting sqref="C2:C8">
    <cfRule type="cellIs" dxfId="8" priority="4" operator="greaterThan">
      <formula>79</formula>
    </cfRule>
  </conditionalFormatting>
  <conditionalFormatting sqref="C3:C8">
    <cfRule type="cellIs" dxfId="7" priority="3" operator="lessThan">
      <formula>50</formula>
    </cfRule>
  </conditionalFormatting>
  <conditionalFormatting sqref="C4:C8">
    <cfRule type="cellIs" dxfId="6" priority="2" operator="between">
      <formula>70</formula>
      <formula>80</formula>
    </cfRule>
  </conditionalFormatting>
  <conditionalFormatting sqref="C7:C8">
    <cfRule type="cellIs" dxfId="5" priority="1" operator="between">
      <formula>50</formula>
      <formula>70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21EE-5841-4F63-86F4-3673B9496A5E}">
  <dimension ref="A1:C6"/>
  <sheetViews>
    <sheetView tabSelected="1" workbookViewId="0">
      <selection sqref="A1:C6"/>
    </sheetView>
  </sheetViews>
  <sheetFormatPr defaultRowHeight="15"/>
  <cols>
    <col min="2" max="2" width="14" bestFit="1" customWidth="1"/>
  </cols>
  <sheetData>
    <row r="1" spans="1:3">
      <c r="A1" t="s">
        <v>19</v>
      </c>
      <c r="B1" t="s">
        <v>1</v>
      </c>
      <c r="C1" t="s">
        <v>2</v>
      </c>
    </row>
    <row r="2" spans="1:3">
      <c r="A2" t="s">
        <v>20</v>
      </c>
      <c r="B2" t="s">
        <v>21</v>
      </c>
      <c r="C2">
        <v>85</v>
      </c>
    </row>
    <row r="3" spans="1:3">
      <c r="A3" t="s">
        <v>22</v>
      </c>
      <c r="B3" t="s">
        <v>23</v>
      </c>
      <c r="C3">
        <v>60</v>
      </c>
    </row>
    <row r="4" spans="1:3">
      <c r="A4" t="s">
        <v>13</v>
      </c>
      <c r="B4" t="s">
        <v>12</v>
      </c>
      <c r="C4">
        <v>40</v>
      </c>
    </row>
    <row r="5" spans="1:3">
      <c r="A5" t="s">
        <v>15</v>
      </c>
      <c r="B5" t="s">
        <v>24</v>
      </c>
      <c r="C5">
        <v>70</v>
      </c>
    </row>
    <row r="6" spans="1:3">
      <c r="A6" t="s">
        <v>25</v>
      </c>
      <c r="B6" t="s">
        <v>21</v>
      </c>
      <c r="C6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38E2-8E18-489D-845A-4E3F76D8CA7B}">
  <dimension ref="A1"/>
  <sheetViews>
    <sheetView workbookViewId="0"/>
  </sheetViews>
  <sheetFormatPr defaultRowHeight="15"/>
  <cols>
    <col min="1" max="1" width="36.5703125" bestFit="1" customWidth="1"/>
  </cols>
  <sheetData>
    <row r="1" spans="1:1">
      <c r="A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2026-07-06T10:10:27Z</dcterms:created>
  <dcterms:modified xsi:type="dcterms:W3CDTF">2026-07-06T15:53:00Z</dcterms:modified>
  <cp:category/>
  <cp:contentStatus/>
</cp:coreProperties>
</file>